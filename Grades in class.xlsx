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<sst xmlns="http://schemas.openxmlformats.org/spreadsheetml/2006/main" count="32" uniqueCount="32">
  <si>
    <t>#</t>
  </si>
  <si>
    <t>Student name</t>
  </si>
  <si>
    <t>English</t>
  </si>
  <si>
    <t>Arabic</t>
  </si>
  <si>
    <t>Geometry</t>
  </si>
  <si>
    <t>Algebra</t>
  </si>
  <si>
    <t>Math sum</t>
  </si>
  <si>
    <t>Average</t>
  </si>
  <si>
    <t>All sum</t>
  </si>
  <si>
    <t>Pass or Fail</t>
  </si>
  <si>
    <t>Overall rate</t>
  </si>
  <si>
    <t>Equation</t>
  </si>
  <si>
    <t>No1</t>
  </si>
  <si>
    <t>Student 1</t>
  </si>
  <si>
    <t>No2</t>
  </si>
  <si>
    <t>Student 2</t>
  </si>
  <si>
    <t>No3</t>
  </si>
  <si>
    <t>Student 3</t>
  </si>
  <si>
    <t>No4</t>
  </si>
  <si>
    <t>Student 4</t>
  </si>
  <si>
    <t>No5</t>
  </si>
  <si>
    <t>Student 5</t>
  </si>
  <si>
    <t>No6</t>
  </si>
  <si>
    <t>Student 6</t>
  </si>
  <si>
    <t>No7</t>
  </si>
  <si>
    <t>Student 7</t>
  </si>
  <si>
    <t>No8</t>
  </si>
  <si>
    <t>Student 8</t>
  </si>
  <si>
    <t>No9</t>
  </si>
  <si>
    <t>Student 9</t>
  </si>
  <si>
    <t>No10</t>
  </si>
  <si>
    <t>Student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</si>
</sst>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sz val="15.0"/>
      <color theme="1"/>
      <name val="Arial"/>
    </font>
    <font>
      <color rgb="FFFFFFF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center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>
        <color rgb="FF000000"/>
      </font>
      <fill>
        <patternFill patternType="solid">
          <fgColor rgb="FFE06666"/>
          <bgColor rgb="FFE06666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1" displayName="Table1" name="Table1" id="1">
  <tableColumns count="12">
    <tableColumn name="#" id="1"/>
    <tableColumn name="Student name" id="2"/>
    <tableColumn name="English" id="3"/>
    <tableColumn name="Arabic" id="4"/>
    <tableColumn name="Geometry" id="5"/>
    <tableColumn name="Algebra" id="6"/>
    <tableColumn name="Math sum" id="7"/>
    <tableColumn name="Average" id="8"/>
    <tableColumn name="All sum" id="9"/>
    <tableColumn name="Pass or Fail" id="10"/>
    <tableColumn name="Overall rate" id="11"/>
    <tableColumn name="Equation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22.0"/>
    <col customWidth="1" min="3" max="4" width="19.13"/>
    <col customWidth="1" min="5" max="5" width="20.38"/>
    <col customWidth="1" min="6" max="6" width="19.13"/>
    <col customWidth="1" min="7" max="7" width="20.38"/>
    <col customWidth="1" min="8" max="9" width="19.13"/>
    <col customWidth="1" min="10" max="10" width="19.5"/>
    <col customWidth="1" min="11" max="11" width="19.25"/>
    <col customWidth="1" min="12" max="12" width="19.5"/>
    <col customWidth="1" min="13" max="26" width="19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ht="22.5" customHeight="1">
      <c r="A2" s="4" t="s">
        <v>12</v>
      </c>
      <c r="B2" s="5" t="s">
        <v>13</v>
      </c>
      <c r="C2" s="6">
        <v>76.0</v>
      </c>
      <c r="D2" s="6">
        <v>36.0</v>
      </c>
      <c r="E2" s="6">
        <v>4.0</v>
      </c>
      <c r="F2" s="6">
        <v>81.0</v>
      </c>
      <c r="G2" s="6">
        <f t="shared" ref="G2:G11" si="1">SUM(E2:F2)</f>
        <v>85</v>
      </c>
      <c r="H2" s="6">
        <f t="shared" ref="H2:H11" si="2">AVERAGE(C2:F2)</f>
        <v>49.25</v>
      </c>
      <c r="I2" s="6">
        <f t="shared" ref="I2:I11" si="3">SUM(C2:F2)</f>
        <v>197</v>
      </c>
      <c r="J2" s="7" t="str">
        <f t="shared" ref="J2:J11" si="4">IF(I2&gt;=180,"Pass","Fail")</f>
        <v>Pass</v>
      </c>
      <c r="K2" s="7" t="str">
        <f t="shared" ref="K2:K11" si="5">IF(I2&gt;=200,"High",IF(I2&gt;=180,"Medium","Bad"))</f>
        <v>Medium</v>
      </c>
      <c r="L2" s="8">
        <f t="shared" ref="L2:L11" si="6">I2-H2</f>
        <v>147.75</v>
      </c>
    </row>
    <row r="3" ht="22.5" customHeight="1">
      <c r="A3" s="4" t="s">
        <v>14</v>
      </c>
      <c r="B3" s="5" t="s">
        <v>15</v>
      </c>
      <c r="C3" s="6">
        <v>91.0</v>
      </c>
      <c r="D3" s="6">
        <v>11.0</v>
      </c>
      <c r="E3" s="6">
        <v>70.0</v>
      </c>
      <c r="F3" s="6">
        <v>26.0</v>
      </c>
      <c r="G3" s="6">
        <f t="shared" si="1"/>
        <v>96</v>
      </c>
      <c r="H3" s="6">
        <f t="shared" si="2"/>
        <v>49.5</v>
      </c>
      <c r="I3" s="6">
        <f t="shared" si="3"/>
        <v>198</v>
      </c>
      <c r="J3" s="7" t="str">
        <f t="shared" si="4"/>
        <v>Pass</v>
      </c>
      <c r="K3" s="7" t="str">
        <f t="shared" si="5"/>
        <v>Medium</v>
      </c>
      <c r="L3" s="8">
        <f t="shared" si="6"/>
        <v>148.5</v>
      </c>
    </row>
    <row r="4" ht="22.5" customHeight="1">
      <c r="A4" s="4" t="s">
        <v>16</v>
      </c>
      <c r="B4" s="5" t="s">
        <v>17</v>
      </c>
      <c r="C4" s="6">
        <v>57.0</v>
      </c>
      <c r="D4" s="6">
        <v>41.0</v>
      </c>
      <c r="E4" s="6">
        <v>32.0</v>
      </c>
      <c r="F4" s="6">
        <v>90.0</v>
      </c>
      <c r="G4" s="6">
        <f t="shared" si="1"/>
        <v>122</v>
      </c>
      <c r="H4" s="6">
        <f t="shared" si="2"/>
        <v>55</v>
      </c>
      <c r="I4" s="6">
        <f t="shared" si="3"/>
        <v>220</v>
      </c>
      <c r="J4" s="7" t="str">
        <f t="shared" si="4"/>
        <v>Pass</v>
      </c>
      <c r="K4" s="7" t="str">
        <f t="shared" si="5"/>
        <v>High</v>
      </c>
      <c r="L4" s="8">
        <f t="shared" si="6"/>
        <v>165</v>
      </c>
    </row>
    <row r="5" ht="22.5" customHeight="1">
      <c r="A5" s="4" t="s">
        <v>18</v>
      </c>
      <c r="B5" s="5" t="s">
        <v>19</v>
      </c>
      <c r="C5" s="6">
        <v>89.0</v>
      </c>
      <c r="D5" s="6">
        <v>95.0</v>
      </c>
      <c r="E5" s="6">
        <v>19.0</v>
      </c>
      <c r="F5" s="6">
        <v>6.0</v>
      </c>
      <c r="G5" s="6">
        <f t="shared" si="1"/>
        <v>25</v>
      </c>
      <c r="H5" s="6">
        <f t="shared" si="2"/>
        <v>52.25</v>
      </c>
      <c r="I5" s="6">
        <f t="shared" si="3"/>
        <v>209</v>
      </c>
      <c r="J5" s="7" t="str">
        <f t="shared" si="4"/>
        <v>Pass</v>
      </c>
      <c r="K5" s="7" t="str">
        <f t="shared" si="5"/>
        <v>High</v>
      </c>
      <c r="L5" s="8">
        <f t="shared" si="6"/>
        <v>156.75</v>
      </c>
    </row>
    <row r="6" ht="22.5" customHeight="1">
      <c r="A6" s="4" t="s">
        <v>20</v>
      </c>
      <c r="B6" s="5" t="s">
        <v>21</v>
      </c>
      <c r="C6" s="6">
        <v>23.0</v>
      </c>
      <c r="D6" s="6">
        <v>84.0</v>
      </c>
      <c r="E6" s="6">
        <v>85.0</v>
      </c>
      <c r="F6" s="6">
        <v>38.0</v>
      </c>
      <c r="G6" s="6">
        <f t="shared" si="1"/>
        <v>123</v>
      </c>
      <c r="H6" s="6">
        <f t="shared" si="2"/>
        <v>57.5</v>
      </c>
      <c r="I6" s="6">
        <f t="shared" si="3"/>
        <v>230</v>
      </c>
      <c r="J6" s="7" t="str">
        <f t="shared" si="4"/>
        <v>Pass</v>
      </c>
      <c r="K6" s="7" t="str">
        <f t="shared" si="5"/>
        <v>High</v>
      </c>
      <c r="L6" s="8">
        <f t="shared" si="6"/>
        <v>172.5</v>
      </c>
    </row>
    <row r="7" ht="22.5" customHeight="1">
      <c r="A7" s="4" t="s">
        <v>22</v>
      </c>
      <c r="B7" s="5" t="s">
        <v>23</v>
      </c>
      <c r="C7" s="6">
        <v>68.0</v>
      </c>
      <c r="D7" s="6">
        <v>79.0</v>
      </c>
      <c r="E7" s="6">
        <v>40.0</v>
      </c>
      <c r="F7" s="6">
        <v>61.0</v>
      </c>
      <c r="G7" s="6">
        <f t="shared" si="1"/>
        <v>101</v>
      </c>
      <c r="H7" s="6">
        <f t="shared" si="2"/>
        <v>62</v>
      </c>
      <c r="I7" s="6">
        <f t="shared" si="3"/>
        <v>248</v>
      </c>
      <c r="J7" s="7" t="str">
        <f t="shared" si="4"/>
        <v>Pass</v>
      </c>
      <c r="K7" s="7" t="str">
        <f t="shared" si="5"/>
        <v>High</v>
      </c>
      <c r="L7" s="8">
        <f t="shared" si="6"/>
        <v>186</v>
      </c>
    </row>
    <row r="8" ht="22.5" customHeight="1">
      <c r="A8" s="4" t="s">
        <v>24</v>
      </c>
      <c r="B8" s="5" t="s">
        <v>25</v>
      </c>
      <c r="C8" s="6">
        <v>12.0</v>
      </c>
      <c r="D8" s="6">
        <v>3.0</v>
      </c>
      <c r="E8" s="6">
        <v>98.0</v>
      </c>
      <c r="F8" s="6">
        <v>20.0</v>
      </c>
      <c r="G8" s="6">
        <f t="shared" si="1"/>
        <v>118</v>
      </c>
      <c r="H8" s="6">
        <f t="shared" si="2"/>
        <v>33.25</v>
      </c>
      <c r="I8" s="6">
        <f t="shared" si="3"/>
        <v>133</v>
      </c>
      <c r="J8" s="7" t="str">
        <f t="shared" si="4"/>
        <v>Fail</v>
      </c>
      <c r="K8" s="7" t="str">
        <f t="shared" si="5"/>
        <v>Bad</v>
      </c>
      <c r="L8" s="8">
        <f t="shared" si="6"/>
        <v>99.75</v>
      </c>
    </row>
    <row r="9" ht="22.5" customHeight="1">
      <c r="A9" s="4" t="s">
        <v>26</v>
      </c>
      <c r="B9" s="5" t="s">
        <v>27</v>
      </c>
      <c r="C9" s="6">
        <v>34.0</v>
      </c>
      <c r="D9" s="6">
        <v>20.0</v>
      </c>
      <c r="E9" s="6">
        <v>63.0</v>
      </c>
      <c r="F9" s="6">
        <v>44.0</v>
      </c>
      <c r="G9" s="6">
        <f t="shared" si="1"/>
        <v>107</v>
      </c>
      <c r="H9" s="6">
        <f t="shared" si="2"/>
        <v>40.25</v>
      </c>
      <c r="I9" s="6">
        <f t="shared" si="3"/>
        <v>161</v>
      </c>
      <c r="J9" s="7" t="str">
        <f t="shared" si="4"/>
        <v>Fail</v>
      </c>
      <c r="K9" s="7" t="str">
        <f t="shared" si="5"/>
        <v>Bad</v>
      </c>
      <c r="L9" s="8">
        <f t="shared" si="6"/>
        <v>120.75</v>
      </c>
    </row>
    <row r="10" ht="22.5" customHeight="1">
      <c r="A10" s="4" t="s">
        <v>28</v>
      </c>
      <c r="B10" s="5" t="s">
        <v>29</v>
      </c>
      <c r="C10" s="6">
        <v>6.0</v>
      </c>
      <c r="D10" s="6">
        <v>26.0</v>
      </c>
      <c r="E10" s="6">
        <v>35.0</v>
      </c>
      <c r="F10" s="6">
        <v>2.0</v>
      </c>
      <c r="G10" s="6">
        <f t="shared" si="1"/>
        <v>37</v>
      </c>
      <c r="H10" s="6">
        <f t="shared" si="2"/>
        <v>17.25</v>
      </c>
      <c r="I10" s="6">
        <f t="shared" si="3"/>
        <v>69</v>
      </c>
      <c r="J10" s="7" t="str">
        <f t="shared" si="4"/>
        <v>Fail</v>
      </c>
      <c r="K10" s="7" t="str">
        <f t="shared" si="5"/>
        <v>Bad</v>
      </c>
      <c r="L10" s="8">
        <f t="shared" si="6"/>
        <v>51.75</v>
      </c>
    </row>
    <row r="11" ht="22.5" customHeight="1">
      <c r="A11" s="4" t="s">
        <v>30</v>
      </c>
      <c r="B11" s="5" t="s">
        <v>31</v>
      </c>
      <c r="C11" s="6">
        <v>45.0</v>
      </c>
      <c r="D11" s="6">
        <v>60.0</v>
      </c>
      <c r="E11" s="6">
        <v>25.0</v>
      </c>
      <c r="F11" s="6">
        <v>12.0</v>
      </c>
      <c r="G11" s="6">
        <f t="shared" si="1"/>
        <v>37</v>
      </c>
      <c r="H11" s="6">
        <f t="shared" si="2"/>
        <v>35.5</v>
      </c>
      <c r="I11" s="6">
        <f t="shared" si="3"/>
        <v>142</v>
      </c>
      <c r="J11" s="7" t="str">
        <f t="shared" si="4"/>
        <v>Fail</v>
      </c>
      <c r="K11" s="7" t="str">
        <f t="shared" si="5"/>
        <v>Bad</v>
      </c>
      <c r="L11" s="8">
        <f t="shared" si="6"/>
        <v>106.5</v>
      </c>
    </row>
    <row r="12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</row>
    <row r="13">
      <c r="A13" s="9"/>
      <c r="B13" s="9"/>
      <c r="C13" s="10"/>
      <c r="D13" s="10"/>
      <c r="E13" s="10"/>
      <c r="F13" s="10"/>
      <c r="G13" s="10"/>
      <c r="H13" s="10"/>
      <c r="I13" s="10"/>
      <c r="J13" s="10"/>
      <c r="K13" s="10"/>
    </row>
    <row r="14">
      <c r="A14" s="9"/>
      <c r="B14" s="9"/>
      <c r="C14" s="10"/>
      <c r="D14" s="10"/>
      <c r="E14" s="10"/>
      <c r="F14" s="10"/>
      <c r="G14" s="10"/>
      <c r="H14" s="10"/>
      <c r="I14" s="10"/>
      <c r="J14" s="10"/>
      <c r="K14" s="10"/>
    </row>
    <row r="15">
      <c r="A15" s="9"/>
      <c r="B15" s="9"/>
      <c r="C15" s="10"/>
      <c r="D15" s="10"/>
      <c r="E15" s="10"/>
      <c r="F15" s="10"/>
      <c r="G15" s="10"/>
      <c r="H15" s="10"/>
      <c r="I15" s="10"/>
      <c r="J15" s="10"/>
      <c r="K15" s="10"/>
    </row>
    <row r="16">
      <c r="A16" s="9"/>
      <c r="B16" s="9"/>
      <c r="C16" s="10"/>
      <c r="D16" s="10"/>
      <c r="E16" s="10"/>
      <c r="F16" s="10"/>
      <c r="G16" s="10"/>
      <c r="H16" s="10"/>
      <c r="I16" s="10"/>
      <c r="J16" s="10"/>
      <c r="K16" s="10"/>
    </row>
    <row r="17">
      <c r="A17" s="9"/>
      <c r="B17" s="9"/>
      <c r="C17" s="10"/>
      <c r="D17" s="10"/>
      <c r="E17" s="10"/>
      <c r="F17" s="10"/>
      <c r="G17" s="10"/>
      <c r="H17" s="10"/>
      <c r="I17" s="10"/>
      <c r="J17" s="10"/>
      <c r="K17" s="10"/>
    </row>
    <row r="18">
      <c r="A18" s="9"/>
      <c r="B18" s="9"/>
      <c r="C18" s="10"/>
      <c r="D18" s="10"/>
      <c r="E18" s="10"/>
      <c r="F18" s="10"/>
      <c r="G18" s="10"/>
      <c r="H18" s="10"/>
      <c r="I18" s="10"/>
      <c r="J18" s="10"/>
      <c r="K18" s="10"/>
    </row>
    <row r="19">
      <c r="A19" s="9"/>
      <c r="B19" s="9"/>
      <c r="C19" s="10"/>
      <c r="D19" s="10"/>
      <c r="E19" s="10"/>
      <c r="F19" s="10"/>
      <c r="G19" s="10"/>
      <c r="H19" s="10"/>
      <c r="I19" s="10"/>
      <c r="J19" s="10"/>
      <c r="K19" s="10"/>
    </row>
    <row r="20">
      <c r="A20" s="9"/>
      <c r="B20" s="9"/>
      <c r="C20" s="10"/>
      <c r="D20" s="10"/>
      <c r="E20" s="10"/>
      <c r="F20" s="10"/>
      <c r="G20" s="10"/>
      <c r="H20" s="10"/>
      <c r="I20" s="10"/>
      <c r="J20" s="10"/>
      <c r="K20" s="10"/>
    </row>
    <row r="21">
      <c r="A21" s="9"/>
      <c r="B21" s="9"/>
      <c r="C21" s="10"/>
      <c r="D21" s="10"/>
      <c r="E21" s="10"/>
      <c r="F21" s="10"/>
      <c r="G21" s="10"/>
      <c r="H21" s="10"/>
      <c r="I21" s="10"/>
      <c r="J21" s="10"/>
      <c r="K21" s="10"/>
    </row>
    <row r="22">
      <c r="A22" s="9"/>
      <c r="B22" s="9"/>
      <c r="C22" s="10"/>
      <c r="D22" s="10"/>
      <c r="E22" s="10"/>
      <c r="F22" s="10"/>
      <c r="G22" s="10"/>
      <c r="H22" s="10"/>
      <c r="I22" s="10"/>
      <c r="J22" s="10"/>
      <c r="K22" s="10"/>
    </row>
    <row r="23">
      <c r="A23" s="9"/>
      <c r="B23" s="9"/>
      <c r="C23" s="10"/>
      <c r="D23" s="10"/>
      <c r="E23" s="10"/>
      <c r="F23" s="10"/>
      <c r="G23" s="10"/>
      <c r="H23" s="10"/>
      <c r="I23" s="10"/>
      <c r="J23" s="10"/>
      <c r="K23" s="10"/>
    </row>
    <row r="24">
      <c r="A24" s="9"/>
      <c r="B24" s="9"/>
      <c r="C24" s="10"/>
      <c r="D24" s="10"/>
      <c r="E24" s="10"/>
      <c r="F24" s="10"/>
      <c r="G24" s="10"/>
      <c r="H24" s="10"/>
      <c r="I24" s="10"/>
      <c r="J24" s="10"/>
      <c r="K24" s="10"/>
    </row>
    <row r="25">
      <c r="A25" s="9"/>
      <c r="B25" s="9"/>
      <c r="C25" s="10"/>
      <c r="D25" s="10"/>
      <c r="E25" s="10"/>
      <c r="F25" s="10"/>
      <c r="G25" s="10"/>
      <c r="H25" s="10"/>
      <c r="I25" s="10"/>
      <c r="J25" s="10"/>
      <c r="K25" s="10"/>
    </row>
    <row r="26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</row>
    <row r="27">
      <c r="A27" s="9"/>
      <c r="B27" s="9"/>
      <c r="C27" s="10"/>
      <c r="D27" s="10"/>
      <c r="E27" s="10"/>
      <c r="F27" s="10"/>
      <c r="G27" s="10"/>
      <c r="H27" s="10"/>
      <c r="I27" s="10"/>
      <c r="J27" s="10"/>
      <c r="K27" s="10"/>
    </row>
    <row r="28">
      <c r="A28" s="9"/>
      <c r="B28" s="9"/>
      <c r="C28" s="10"/>
      <c r="D28" s="10"/>
      <c r="E28" s="10"/>
      <c r="F28" s="10"/>
      <c r="G28" s="10"/>
      <c r="H28" s="10"/>
      <c r="I28" s="10"/>
      <c r="J28" s="10"/>
      <c r="K28" s="10"/>
    </row>
    <row r="29">
      <c r="A29" s="9"/>
      <c r="B29" s="9"/>
      <c r="C29" s="10"/>
      <c r="D29" s="10"/>
      <c r="E29" s="10"/>
      <c r="F29" s="10"/>
      <c r="G29" s="10"/>
      <c r="H29" s="10"/>
      <c r="I29" s="10"/>
      <c r="J29" s="10"/>
      <c r="K29" s="10"/>
    </row>
    <row r="30">
      <c r="A30" s="9"/>
      <c r="B30" s="9"/>
      <c r="C30" s="10"/>
      <c r="D30" s="10"/>
      <c r="E30" s="10"/>
      <c r="F30" s="10"/>
      <c r="G30" s="10"/>
      <c r="H30" s="10"/>
      <c r="I30" s="10"/>
      <c r="J30" s="10"/>
      <c r="K30" s="10"/>
    </row>
    <row r="31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</row>
  </sheetData>
  <conditionalFormatting sqref="A1:Z1000">
    <cfRule type="cellIs" dxfId="5" priority="1" operator="equal">
      <formula>"Pass"</formula>
    </cfRule>
  </conditionalFormatting>
  <conditionalFormatting sqref="A1:Z1000">
    <cfRule type="cellIs" dxfId="6" priority="2" operator="equal">
      <formula>"Fail"</formula>
    </cfRule>
  </conditionalFormatting>
  <conditionalFormatting sqref="A1:Z1000">
    <cfRule type="cellIs" dxfId="7" priority="3" operator="equal">
      <formula>"Excellent"</formula>
    </cfRule>
  </conditionalFormatting>
  <conditionalFormatting sqref="A1:Z1000">
    <cfRule type="cellIs" dxfId="8" priority="4" operator="equal">
      <formula>"Good"</formula>
    </cfRule>
  </conditionalFormatting>
  <conditionalFormatting sqref="A1:Z1000">
    <cfRule type="cellIs" dxfId="9" priority="5" operator="equal">
      <formula>"Bad"</formula>
    </cfRule>
  </conditionalFormatting>
  <dataValidations>
    <dataValidation type="custom" allowBlank="1" showDropDown="1" sqref="C2:I11 L2:L11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